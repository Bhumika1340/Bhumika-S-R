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<sst xmlns="http://schemas.openxmlformats.org/spreadsheetml/2006/main" count="33" uniqueCount="13">
  <si>
    <t>Index</t>
  </si>
  <si>
    <t>Relative Humidity</t>
  </si>
  <si>
    <t>Y</t>
  </si>
  <si>
    <t xml:space="preserve">βo </t>
  </si>
  <si>
    <t>β1</t>
  </si>
  <si>
    <t xml:space="preserve">apha </t>
  </si>
  <si>
    <t>Z</t>
  </si>
  <si>
    <t>exp</t>
  </si>
  <si>
    <t>p</t>
  </si>
  <si>
    <t>Error</t>
  </si>
  <si>
    <t xml:space="preserve">Intercept gradient </t>
  </si>
  <si>
    <t>(p-y)*x</t>
  </si>
  <si>
    <t xml:space="preserve">Slope Gradient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</si>
</sst>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ptos Narrow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Sheet2!$A$4:$A$15</c:f>
            </c:strRef>
          </c:cat>
          <c:val>
            <c:numRef>
              <c:f>Sheet2!$B$4:$B$15</c:f>
              <c:numCache/>
            </c:numRef>
          </c:val>
        </c:ser>
        <c:overlap val="100"/>
        <c:axId val="2075717180"/>
        <c:axId val="387341174"/>
      </c:barChart>
      <c:lineChart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Sheet2!$C$4:$C$15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Sheet2!$D$4:$D$15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Sheet2!$E$4:$E$15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Sheet2!$F$4:$F$15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Sheet2!$G$4:$G$15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Sheet2!$H$4:$H$15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Sheet2!$I$4:$I$15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Sheet2!$J$4:$J$15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Sheet2!$K$4:$K$15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Sheet2!$L$4:$L$15</c:f>
              <c:numCache/>
            </c:numRef>
          </c:val>
          <c:smooth val="0"/>
        </c:ser>
        <c:axId val="2075717180"/>
        <c:axId val="387341174"/>
      </c:lineChart>
      <c:catAx>
        <c:axId val="2075717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341174"/>
      </c:catAx>
      <c:valAx>
        <c:axId val="387341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717180"/>
      </c:valAx>
    </c:plotArea>
    <c:legend>
      <c:legendPos val="r"/>
      <c:legendEntry>
        <c:idx val="10"/>
        <c:txPr>
          <a:bodyPr/>
          <a:lstStyle/>
          <a:p>
            <a:pPr lvl="0">
              <a:defRPr>
                <a:latin typeface="sans-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Sheet2!$B$5:$B$15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Sheet2!$C$5:$C$15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Sheet2!$D$5:$D$15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Sheet2!$E$5:$E$15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Sheet2!$F$5:$F$15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Sheet2!$G$5:$G$15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Sheet2!$H$5:$H$15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Sheet2!$I$5:$I$15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Sheet2!$J$5:$J$15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Sheet2!$K$5:$K$15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Sheet2!$L$5:$L$15</c:f>
              <c:numCache/>
            </c:numRef>
          </c:val>
          <c:smooth val="0"/>
        </c:ser>
        <c:axId val="550958410"/>
        <c:axId val="66077472"/>
      </c:lineChart>
      <c:catAx>
        <c:axId val="550958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77472"/>
      </c:catAx>
      <c:valAx>
        <c:axId val="66077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958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Relative Humidity, Y, Z, exp, p…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Sheet3!$B$1:$B$4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Sheet3!$B$5:$B$14</c:f>
              <c:numCache/>
            </c:numRef>
          </c:val>
          <c:smooth val="0"/>
        </c:ser>
        <c:ser>
          <c:idx val="1"/>
          <c:order val="1"/>
          <c:tx>
            <c:strRef>
              <c:f>Sheet3!$C$1:$C$4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Sheet3!$C$5:$C$14</c:f>
              <c:numCache/>
            </c:numRef>
          </c:val>
          <c:smooth val="0"/>
        </c:ser>
        <c:ser>
          <c:idx val="2"/>
          <c:order val="2"/>
          <c:tx>
            <c:strRef>
              <c:f>Sheet3!$D$1:$D$4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Sheet3!$D$5:$D$14</c:f>
              <c:numCache/>
            </c:numRef>
          </c:val>
          <c:smooth val="0"/>
        </c:ser>
        <c:ser>
          <c:idx val="3"/>
          <c:order val="3"/>
          <c:tx>
            <c:strRef>
              <c:f>Sheet3!$E$1:$E$4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Sheet3!$E$5:$E$14</c:f>
              <c:numCache/>
            </c:numRef>
          </c:val>
          <c:smooth val="0"/>
        </c:ser>
        <c:ser>
          <c:idx val="4"/>
          <c:order val="4"/>
          <c:tx>
            <c:strRef>
              <c:f>Sheet3!$F$1:$F$4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Sheet3!$F$5:$F$14</c:f>
              <c:numCache/>
            </c:numRef>
          </c:val>
          <c:smooth val="0"/>
        </c:ser>
        <c:ser>
          <c:idx val="5"/>
          <c:order val="5"/>
          <c:tx>
            <c:strRef>
              <c:f>Sheet3!$G$1:$G$4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Sheet3!$G$5:$G$14</c:f>
              <c:numCache/>
            </c:numRef>
          </c:val>
          <c:smooth val="0"/>
        </c:ser>
        <c:ser>
          <c:idx val="6"/>
          <c:order val="6"/>
          <c:tx>
            <c:strRef>
              <c:f>Sheet3!$H$1:$H$4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Sheet3!$H$5:$H$14</c:f>
              <c:numCache/>
            </c:numRef>
          </c:val>
          <c:smooth val="0"/>
        </c:ser>
        <c:ser>
          <c:idx val="7"/>
          <c:order val="7"/>
          <c:tx>
            <c:strRef>
              <c:f>Sheet3!$I$1:$I$4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Sheet3!$I$5:$I$14</c:f>
              <c:numCache/>
            </c:numRef>
          </c:val>
          <c:smooth val="0"/>
        </c:ser>
        <c:ser>
          <c:idx val="8"/>
          <c:order val="8"/>
          <c:tx>
            <c:strRef>
              <c:f>Sheet3!$J$1:$J$4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Sheet3!$J$5:$J$14</c:f>
              <c:numCache/>
            </c:numRef>
          </c:val>
          <c:smooth val="0"/>
        </c:ser>
        <c:axId val="1680592774"/>
        <c:axId val="1285922558"/>
      </c:lineChart>
      <c:catAx>
        <c:axId val="1680592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922558"/>
      </c:catAx>
      <c:valAx>
        <c:axId val="1285922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592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Relative Humidity, Y, Z, exp, p…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Sheet3!$B$1:$B$4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Sheet3!$B$5:$B$14</c:f>
              <c:numCache/>
            </c:numRef>
          </c:yVal>
        </c:ser>
        <c:ser>
          <c:idx val="1"/>
          <c:order val="1"/>
          <c:tx>
            <c:strRef>
              <c:f>Sheet3!$C$1:$C$4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Sheet3!$C$5:$C$14</c:f>
              <c:numCache/>
            </c:numRef>
          </c:yVal>
        </c:ser>
        <c:ser>
          <c:idx val="2"/>
          <c:order val="2"/>
          <c:tx>
            <c:strRef>
              <c:f>Sheet3!$D$1:$D$4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Sheet3!$D$5:$D$14</c:f>
              <c:numCache/>
            </c:numRef>
          </c:yVal>
        </c:ser>
        <c:ser>
          <c:idx val="3"/>
          <c:order val="3"/>
          <c:tx>
            <c:strRef>
              <c:f>Sheet3!$E$1:$E$4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Sheet3!$E$5:$E$14</c:f>
              <c:numCache/>
            </c:numRef>
          </c:yVal>
        </c:ser>
        <c:ser>
          <c:idx val="4"/>
          <c:order val="4"/>
          <c:tx>
            <c:strRef>
              <c:f>Sheet3!$F$1:$F$4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Sheet3!$F$5:$F$14</c:f>
              <c:numCache/>
            </c:numRef>
          </c:yVal>
        </c:ser>
        <c:ser>
          <c:idx val="5"/>
          <c:order val="5"/>
          <c:tx>
            <c:strRef>
              <c:f>Sheet3!$G$1:$G$4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Sheet3!$G$5:$G$14</c:f>
              <c:numCache/>
            </c:numRef>
          </c:yVal>
        </c:ser>
        <c:ser>
          <c:idx val="6"/>
          <c:order val="6"/>
          <c:tx>
            <c:strRef>
              <c:f>Sheet3!$H$1:$H$4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Sheet3!$H$5:$H$14</c:f>
              <c:numCache/>
            </c:numRef>
          </c:yVal>
        </c:ser>
        <c:ser>
          <c:idx val="7"/>
          <c:order val="7"/>
          <c:tx>
            <c:strRef>
              <c:f>Sheet3!$I$1:$I$4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Sheet3!$I$5:$I$14</c:f>
              <c:numCache/>
            </c:numRef>
          </c:yVal>
        </c:ser>
        <c:ser>
          <c:idx val="8"/>
          <c:order val="8"/>
          <c:tx>
            <c:strRef>
              <c:f>Sheet3!$J$1:$J$4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Sheet3!$J$5:$J$14</c:f>
              <c:numCache/>
            </c:numRef>
          </c:yVal>
        </c:ser>
        <c:ser>
          <c:idx val="9"/>
          <c:order val="9"/>
          <c:tx>
            <c:strRef>
              <c:f>Sheet3!$K$1:$K$4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Sheet3!$K$5:$K$14</c:f>
              <c:numCache/>
            </c:numRef>
          </c:yVal>
        </c:ser>
        <c:ser>
          <c:idx val="10"/>
          <c:order val="10"/>
          <c:tx>
            <c:strRef>
              <c:f>Sheet3!$L$1:$L$4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Sheet3!$L$5:$L$14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278466"/>
        <c:axId val="553358202"/>
      </c:scatterChart>
      <c:valAx>
        <c:axId val="10852784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358202"/>
      </c:valAx>
      <c:valAx>
        <c:axId val="553358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278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133350</xdr:colOff>
      <xdr:row>17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14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76200</xdr:colOff>
      <xdr:row>14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9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45.0</v>
      </c>
      <c r="C2" s="1">
        <v>0.0</v>
      </c>
      <c r="D2" s="2">
        <f>$I$1+$I$2*B2</f>
        <v>0</v>
      </c>
      <c r="E2" s="2">
        <f t="shared" ref="E2:E11" si="1">1/(1+EXP(-D2))</f>
        <v>0.5</v>
      </c>
      <c r="F2" s="2">
        <f t="shared" ref="F2:F11" si="2">C2*LN(E2)+(1-C2)*LN(1-E2)</f>
        <v>-0.6931471806</v>
      </c>
      <c r="G2" s="2">
        <f t="shared" ref="G2:G11" si="3">SUM(F2:F11)</f>
        <v>-6.931471806</v>
      </c>
    </row>
    <row r="3">
      <c r="A3" s="1">
        <v>2.0</v>
      </c>
      <c r="B3" s="1">
        <v>50.0</v>
      </c>
      <c r="C3" s="1">
        <v>0.0</v>
      </c>
      <c r="D3" s="2">
        <f t="shared" ref="D3:D11" si="4">$I$1+$I$2*B2</f>
        <v>0</v>
      </c>
      <c r="E3" s="2">
        <f t="shared" si="1"/>
        <v>0.5</v>
      </c>
      <c r="F3" s="2">
        <f t="shared" si="2"/>
        <v>-0.6931471806</v>
      </c>
      <c r="G3" s="2">
        <f t="shared" si="3"/>
        <v>-6.238324625</v>
      </c>
    </row>
    <row r="4">
      <c r="A4" s="1">
        <v>3.0</v>
      </c>
      <c r="B4" s="1">
        <v>55.0</v>
      </c>
      <c r="C4" s="1">
        <v>0.0</v>
      </c>
      <c r="D4" s="2">
        <f t="shared" si="4"/>
        <v>0</v>
      </c>
      <c r="E4" s="2">
        <f t="shared" si="1"/>
        <v>0.5</v>
      </c>
      <c r="F4" s="2">
        <f t="shared" si="2"/>
        <v>-0.6931471806</v>
      </c>
      <c r="G4" s="2">
        <f t="shared" si="3"/>
        <v>-5.545177444</v>
      </c>
    </row>
    <row r="5">
      <c r="A5" s="1">
        <v>4.0</v>
      </c>
      <c r="B5" s="1">
        <v>60.0</v>
      </c>
      <c r="C5" s="1">
        <v>0.0</v>
      </c>
      <c r="D5" s="2">
        <f t="shared" si="4"/>
        <v>0</v>
      </c>
      <c r="E5" s="2">
        <f t="shared" si="1"/>
        <v>0.5</v>
      </c>
      <c r="F5" s="2">
        <f t="shared" si="2"/>
        <v>-0.6931471806</v>
      </c>
      <c r="G5" s="2">
        <f t="shared" si="3"/>
        <v>-4.852030264</v>
      </c>
    </row>
    <row r="6">
      <c r="A6" s="1">
        <v>5.0</v>
      </c>
      <c r="B6" s="1">
        <v>65.0</v>
      </c>
      <c r="C6" s="1">
        <v>1.0</v>
      </c>
      <c r="D6" s="2">
        <f t="shared" si="4"/>
        <v>0</v>
      </c>
      <c r="E6" s="2">
        <f t="shared" si="1"/>
        <v>0.5</v>
      </c>
      <c r="F6" s="2">
        <f t="shared" si="2"/>
        <v>-0.6931471806</v>
      </c>
      <c r="G6" s="2">
        <f t="shared" si="3"/>
        <v>-4.158883083</v>
      </c>
    </row>
    <row r="7">
      <c r="A7" s="1">
        <v>6.0</v>
      </c>
      <c r="B7" s="1">
        <v>70.0</v>
      </c>
      <c r="C7" s="1">
        <v>1.0</v>
      </c>
      <c r="D7" s="2">
        <f t="shared" si="4"/>
        <v>0</v>
      </c>
      <c r="E7" s="2">
        <f t="shared" si="1"/>
        <v>0.5</v>
      </c>
      <c r="F7" s="2">
        <f t="shared" si="2"/>
        <v>-0.6931471806</v>
      </c>
      <c r="G7" s="2">
        <f t="shared" si="3"/>
        <v>-3.465735903</v>
      </c>
    </row>
    <row r="8">
      <c r="A8" s="1">
        <v>7.0</v>
      </c>
      <c r="B8" s="1">
        <v>75.0</v>
      </c>
      <c r="C8" s="1">
        <v>1.0</v>
      </c>
      <c r="D8" s="2">
        <f t="shared" si="4"/>
        <v>0</v>
      </c>
      <c r="E8" s="2">
        <f t="shared" si="1"/>
        <v>0.5</v>
      </c>
      <c r="F8" s="2">
        <f t="shared" si="2"/>
        <v>-0.6931471806</v>
      </c>
      <c r="G8" s="2">
        <f t="shared" si="3"/>
        <v>-2.772588722</v>
      </c>
    </row>
    <row r="9">
      <c r="A9" s="1">
        <v>8.0</v>
      </c>
      <c r="B9" s="1">
        <v>80.0</v>
      </c>
      <c r="C9" s="1">
        <v>1.0</v>
      </c>
      <c r="D9" s="2">
        <f t="shared" si="4"/>
        <v>0</v>
      </c>
      <c r="E9" s="2">
        <f t="shared" si="1"/>
        <v>0.5</v>
      </c>
      <c r="F9" s="2">
        <f t="shared" si="2"/>
        <v>-0.6931471806</v>
      </c>
      <c r="G9" s="2">
        <f t="shared" si="3"/>
        <v>-2.079441542</v>
      </c>
    </row>
    <row r="10">
      <c r="A10" s="1">
        <v>9.0</v>
      </c>
      <c r="B10" s="1">
        <v>85.0</v>
      </c>
      <c r="C10" s="1">
        <v>1.0</v>
      </c>
      <c r="D10" s="2">
        <f t="shared" si="4"/>
        <v>0</v>
      </c>
      <c r="E10" s="2">
        <f t="shared" si="1"/>
        <v>0.5</v>
      </c>
      <c r="F10" s="2">
        <f t="shared" si="2"/>
        <v>-0.6931471806</v>
      </c>
      <c r="G10" s="2">
        <f t="shared" si="3"/>
        <v>-1.386294361</v>
      </c>
    </row>
    <row r="11">
      <c r="A11" s="1">
        <v>10.0</v>
      </c>
      <c r="B11" s="1">
        <v>90.0</v>
      </c>
      <c r="C11" s="1">
        <v>1.0</v>
      </c>
      <c r="D11" s="2">
        <f t="shared" si="4"/>
        <v>0</v>
      </c>
      <c r="E11" s="2">
        <f t="shared" si="1"/>
        <v>0.5</v>
      </c>
      <c r="F11" s="2">
        <f t="shared" si="2"/>
        <v>-0.6931471806</v>
      </c>
      <c r="G11" s="2">
        <f t="shared" si="3"/>
        <v>-0.6931471806</v>
      </c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8" max="8" width="15.13"/>
  </cols>
  <sheetData>
    <row r="1">
      <c r="A1" s="4" t="s">
        <v>3</v>
      </c>
      <c r="B1" s="4">
        <v>0.0</v>
      </c>
    </row>
    <row r="2">
      <c r="A2" s="4" t="s">
        <v>4</v>
      </c>
      <c r="B2" s="4">
        <v>0.0</v>
      </c>
    </row>
    <row r="3">
      <c r="A3" s="4" t="s">
        <v>5</v>
      </c>
      <c r="B3" s="4">
        <v>0.001</v>
      </c>
    </row>
    <row r="4">
      <c r="A4" s="5" t="s">
        <v>0</v>
      </c>
      <c r="B4" s="5" t="s">
        <v>1</v>
      </c>
      <c r="C4" s="5" t="s">
        <v>2</v>
      </c>
      <c r="D4" s="6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3</v>
      </c>
      <c r="L4" s="5" t="s">
        <v>4</v>
      </c>
    </row>
    <row r="5">
      <c r="A5" s="5">
        <v>1.0</v>
      </c>
      <c r="B5" s="5">
        <v>45.0</v>
      </c>
      <c r="C5" s="5">
        <v>0.0</v>
      </c>
      <c r="D5" s="7">
        <f t="shared" ref="D5:D14" si="1">$B$1 + $B$2*B5</f>
        <v>0</v>
      </c>
      <c r="E5" s="7">
        <f t="shared" ref="E5:E14" si="2">EXP(-D5)</f>
        <v>1</v>
      </c>
      <c r="F5" s="7">
        <f t="shared" ref="F5:F14" si="3">1/(1+E5)</f>
        <v>0.5</v>
      </c>
      <c r="G5" s="7">
        <f t="shared" ref="G5:G14" si="4">F5-C5</f>
        <v>0.5</v>
      </c>
      <c r="H5" s="7">
        <f>SUM(G5:G14)/COUNT(G5:G14)</f>
        <v>-0.1</v>
      </c>
      <c r="I5" s="7">
        <f t="shared" ref="I5:I14" si="5">G5*B5</f>
        <v>22.5</v>
      </c>
      <c r="J5" s="7">
        <f>SUM(I5:I14)/COUNT(I5:I14)</f>
        <v>-12.75</v>
      </c>
      <c r="K5" s="7">
        <f>B1-B3*H5</f>
        <v>0.0001</v>
      </c>
      <c r="L5" s="8">
        <f>B1-B3*J5</f>
        <v>0.01275</v>
      </c>
    </row>
    <row r="6">
      <c r="A6" s="5">
        <v>2.0</v>
      </c>
      <c r="B6" s="5">
        <v>50.0</v>
      </c>
      <c r="C6" s="5">
        <v>0.0</v>
      </c>
      <c r="D6" s="7">
        <f t="shared" si="1"/>
        <v>0</v>
      </c>
      <c r="E6" s="7">
        <f t="shared" si="2"/>
        <v>1</v>
      </c>
      <c r="F6" s="7">
        <f t="shared" si="3"/>
        <v>0.5</v>
      </c>
      <c r="G6" s="7">
        <f t="shared" si="4"/>
        <v>0.5</v>
      </c>
      <c r="H6" s="7"/>
      <c r="I6" s="7">
        <f t="shared" si="5"/>
        <v>25</v>
      </c>
      <c r="J6" s="7"/>
      <c r="K6" s="7"/>
      <c r="L6" s="7"/>
    </row>
    <row r="7">
      <c r="A7" s="5">
        <v>3.0</v>
      </c>
      <c r="B7" s="5">
        <v>55.0</v>
      </c>
      <c r="C7" s="5">
        <v>0.0</v>
      </c>
      <c r="D7" s="7">
        <f t="shared" si="1"/>
        <v>0</v>
      </c>
      <c r="E7" s="7">
        <f t="shared" si="2"/>
        <v>1</v>
      </c>
      <c r="F7" s="7">
        <f t="shared" si="3"/>
        <v>0.5</v>
      </c>
      <c r="G7" s="7">
        <f t="shared" si="4"/>
        <v>0.5</v>
      </c>
      <c r="H7" s="7"/>
      <c r="I7" s="7">
        <f t="shared" si="5"/>
        <v>27.5</v>
      </c>
      <c r="J7" s="7"/>
      <c r="K7" s="7"/>
      <c r="L7" s="7"/>
    </row>
    <row r="8">
      <c r="A8" s="5">
        <v>4.0</v>
      </c>
      <c r="B8" s="5">
        <v>60.0</v>
      </c>
      <c r="C8" s="5">
        <v>0.0</v>
      </c>
      <c r="D8" s="7">
        <f t="shared" si="1"/>
        <v>0</v>
      </c>
      <c r="E8" s="7">
        <f t="shared" si="2"/>
        <v>1</v>
      </c>
      <c r="F8" s="7">
        <f t="shared" si="3"/>
        <v>0.5</v>
      </c>
      <c r="G8" s="7">
        <f t="shared" si="4"/>
        <v>0.5</v>
      </c>
      <c r="H8" s="7"/>
      <c r="I8" s="7">
        <f t="shared" si="5"/>
        <v>30</v>
      </c>
      <c r="J8" s="7"/>
      <c r="K8" s="7"/>
      <c r="L8" s="7"/>
    </row>
    <row r="9">
      <c r="A9" s="5">
        <v>5.0</v>
      </c>
      <c r="B9" s="5">
        <v>65.0</v>
      </c>
      <c r="C9" s="5">
        <v>1.0</v>
      </c>
      <c r="D9" s="7">
        <f t="shared" si="1"/>
        <v>0</v>
      </c>
      <c r="E9" s="7">
        <f t="shared" si="2"/>
        <v>1</v>
      </c>
      <c r="F9" s="7">
        <f t="shared" si="3"/>
        <v>0.5</v>
      </c>
      <c r="G9" s="7">
        <f t="shared" si="4"/>
        <v>-0.5</v>
      </c>
      <c r="H9" s="7"/>
      <c r="I9" s="7">
        <f t="shared" si="5"/>
        <v>-32.5</v>
      </c>
      <c r="J9" s="7"/>
      <c r="K9" s="7"/>
      <c r="L9" s="7"/>
    </row>
    <row r="10">
      <c r="A10" s="5">
        <v>6.0</v>
      </c>
      <c r="B10" s="5">
        <v>70.0</v>
      </c>
      <c r="C10" s="5">
        <v>1.0</v>
      </c>
      <c r="D10" s="7">
        <f t="shared" si="1"/>
        <v>0</v>
      </c>
      <c r="E10" s="7">
        <f t="shared" si="2"/>
        <v>1</v>
      </c>
      <c r="F10" s="7">
        <f t="shared" si="3"/>
        <v>0.5</v>
      </c>
      <c r="G10" s="7">
        <f t="shared" si="4"/>
        <v>-0.5</v>
      </c>
      <c r="H10" s="7"/>
      <c r="I10" s="7">
        <f t="shared" si="5"/>
        <v>-35</v>
      </c>
      <c r="J10" s="7"/>
      <c r="K10" s="7"/>
      <c r="L10" s="7"/>
    </row>
    <row r="11">
      <c r="A11" s="5">
        <v>7.0</v>
      </c>
      <c r="B11" s="5">
        <v>75.0</v>
      </c>
      <c r="C11" s="5">
        <v>1.0</v>
      </c>
      <c r="D11" s="7">
        <f t="shared" si="1"/>
        <v>0</v>
      </c>
      <c r="E11" s="7">
        <f t="shared" si="2"/>
        <v>1</v>
      </c>
      <c r="F11" s="7">
        <f t="shared" si="3"/>
        <v>0.5</v>
      </c>
      <c r="G11" s="7">
        <f t="shared" si="4"/>
        <v>-0.5</v>
      </c>
      <c r="H11" s="7"/>
      <c r="I11" s="7">
        <f t="shared" si="5"/>
        <v>-37.5</v>
      </c>
      <c r="J11" s="7"/>
      <c r="K11" s="7"/>
      <c r="L11" s="7"/>
    </row>
    <row r="12">
      <c r="A12" s="5">
        <v>8.0</v>
      </c>
      <c r="B12" s="5">
        <v>80.0</v>
      </c>
      <c r="C12" s="5">
        <v>1.0</v>
      </c>
      <c r="D12" s="7">
        <f t="shared" si="1"/>
        <v>0</v>
      </c>
      <c r="E12" s="7">
        <f t="shared" si="2"/>
        <v>1</v>
      </c>
      <c r="F12" s="7">
        <f t="shared" si="3"/>
        <v>0.5</v>
      </c>
      <c r="G12" s="7">
        <f t="shared" si="4"/>
        <v>-0.5</v>
      </c>
      <c r="H12" s="7"/>
      <c r="I12" s="7">
        <f t="shared" si="5"/>
        <v>-40</v>
      </c>
      <c r="J12" s="7"/>
      <c r="K12" s="7"/>
      <c r="L12" s="7"/>
    </row>
    <row r="13">
      <c r="A13" s="5">
        <v>9.0</v>
      </c>
      <c r="B13" s="5">
        <v>85.0</v>
      </c>
      <c r="C13" s="5">
        <v>1.0</v>
      </c>
      <c r="D13" s="7">
        <f t="shared" si="1"/>
        <v>0</v>
      </c>
      <c r="E13" s="7">
        <f t="shared" si="2"/>
        <v>1</v>
      </c>
      <c r="F13" s="7">
        <f t="shared" si="3"/>
        <v>0.5</v>
      </c>
      <c r="G13" s="7">
        <f t="shared" si="4"/>
        <v>-0.5</v>
      </c>
      <c r="H13" s="7"/>
      <c r="I13" s="7">
        <f t="shared" si="5"/>
        <v>-42.5</v>
      </c>
      <c r="J13" s="7"/>
      <c r="K13" s="7"/>
      <c r="L13" s="7"/>
    </row>
    <row r="14">
      <c r="A14" s="5">
        <v>10.0</v>
      </c>
      <c r="B14" s="5">
        <v>90.0</v>
      </c>
      <c r="C14" s="5">
        <v>1.0</v>
      </c>
      <c r="D14" s="7">
        <f t="shared" si="1"/>
        <v>0</v>
      </c>
      <c r="E14" s="7">
        <f t="shared" si="2"/>
        <v>1</v>
      </c>
      <c r="F14" s="7">
        <f t="shared" si="3"/>
        <v>0.5</v>
      </c>
      <c r="G14" s="7">
        <f t="shared" si="4"/>
        <v>-0.5</v>
      </c>
      <c r="H14" s="7"/>
      <c r="I14" s="7">
        <f t="shared" si="5"/>
        <v>-45</v>
      </c>
      <c r="J14" s="7"/>
      <c r="K14" s="7"/>
      <c r="L14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75"/>
    <col customWidth="1" min="11" max="11" width="18.88"/>
    <col customWidth="1" min="12" max="12" width="17.25"/>
  </cols>
  <sheetData>
    <row r="1">
      <c r="A1" s="4" t="s">
        <v>3</v>
      </c>
      <c r="B1" s="4">
        <v>1.0E-4</v>
      </c>
    </row>
    <row r="2">
      <c r="A2" s="4" t="s">
        <v>4</v>
      </c>
      <c r="B2" s="4">
        <v>0.01275</v>
      </c>
    </row>
    <row r="3">
      <c r="A3" s="4" t="s">
        <v>5</v>
      </c>
      <c r="B3" s="4">
        <v>0.001</v>
      </c>
    </row>
    <row r="4">
      <c r="A4" s="5" t="s">
        <v>0</v>
      </c>
      <c r="B4" s="5" t="s">
        <v>1</v>
      </c>
      <c r="C4" s="5" t="s">
        <v>2</v>
      </c>
      <c r="D4" s="6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3</v>
      </c>
      <c r="L4" s="5" t="s">
        <v>4</v>
      </c>
    </row>
    <row r="5">
      <c r="A5" s="5">
        <v>1.0</v>
      </c>
      <c r="B5" s="5">
        <v>45.0</v>
      </c>
      <c r="C5" s="5">
        <v>0.0</v>
      </c>
      <c r="D5" s="7">
        <f t="shared" ref="D5:D14" si="1">$B$1 + $B$2*B5</f>
        <v>0.57385</v>
      </c>
      <c r="E5" s="7">
        <f t="shared" ref="E5:E14" si="2">EXP(-D5)</f>
        <v>0.5633523516</v>
      </c>
      <c r="F5" s="7">
        <f t="shared" ref="F5:F14" si="3">1/(1+E5)</f>
        <v>0.6396510671</v>
      </c>
      <c r="G5" s="7">
        <f t="shared" ref="G5:G14" si="4">F5-C5</f>
        <v>0.6396510671</v>
      </c>
      <c r="H5" s="7">
        <f>SUM(G5:G14)/COUNT(G5:G14)</f>
        <v>0.1014023576</v>
      </c>
      <c r="I5" s="7">
        <f t="shared" ref="I5:I14" si="5">G5*B5</f>
        <v>28.78429802</v>
      </c>
      <c r="J5" s="7">
        <f>SUM(I5:I14)/COUNT(I5:I14)</f>
        <v>1.392534177</v>
      </c>
      <c r="K5" s="7">
        <f>B1-B3*H5</f>
        <v>-0.000001402357621</v>
      </c>
      <c r="L5" s="8">
        <f>B1-B3*J5</f>
        <v>-0.001292534177</v>
      </c>
    </row>
    <row r="6">
      <c r="A6" s="5">
        <v>2.0</v>
      </c>
      <c r="B6" s="5">
        <v>50.0</v>
      </c>
      <c r="C6" s="5">
        <v>0.0</v>
      </c>
      <c r="D6" s="7">
        <f t="shared" si="1"/>
        <v>0.6376</v>
      </c>
      <c r="E6" s="7">
        <f t="shared" si="2"/>
        <v>0.5285594457</v>
      </c>
      <c r="F6" s="7">
        <f t="shared" si="3"/>
        <v>0.654210736</v>
      </c>
      <c r="G6" s="7">
        <f t="shared" si="4"/>
        <v>0.654210736</v>
      </c>
      <c r="H6" s="7"/>
      <c r="I6" s="7">
        <f t="shared" si="5"/>
        <v>32.7105368</v>
      </c>
      <c r="J6" s="7"/>
      <c r="K6" s="7"/>
      <c r="L6" s="7"/>
    </row>
    <row r="7">
      <c r="A7" s="5">
        <v>3.0</v>
      </c>
      <c r="B7" s="5">
        <v>55.0</v>
      </c>
      <c r="C7" s="5">
        <v>0.0</v>
      </c>
      <c r="D7" s="7">
        <f t="shared" si="1"/>
        <v>0.70135</v>
      </c>
      <c r="E7" s="7">
        <f t="shared" si="2"/>
        <v>0.4959153659</v>
      </c>
      <c r="F7" s="7">
        <f t="shared" si="3"/>
        <v>0.6684870166</v>
      </c>
      <c r="G7" s="7">
        <f t="shared" si="4"/>
        <v>0.6684870166</v>
      </c>
      <c r="H7" s="7"/>
      <c r="I7" s="7">
        <f t="shared" si="5"/>
        <v>36.76678591</v>
      </c>
      <c r="J7" s="7"/>
      <c r="K7" s="7"/>
      <c r="L7" s="7"/>
    </row>
    <row r="8">
      <c r="A8" s="5">
        <v>4.0</v>
      </c>
      <c r="B8" s="5">
        <v>60.0</v>
      </c>
      <c r="C8" s="5">
        <v>0.0</v>
      </c>
      <c r="D8" s="7">
        <f t="shared" si="1"/>
        <v>0.7651</v>
      </c>
      <c r="E8" s="7">
        <f t="shared" si="2"/>
        <v>0.4652873999</v>
      </c>
      <c r="F8" s="7">
        <f t="shared" si="3"/>
        <v>0.6824599734</v>
      </c>
      <c r="G8" s="7">
        <f t="shared" si="4"/>
        <v>0.6824599734</v>
      </c>
      <c r="H8" s="7"/>
      <c r="I8" s="7">
        <f t="shared" si="5"/>
        <v>40.94759841</v>
      </c>
      <c r="J8" s="7"/>
      <c r="K8" s="7"/>
      <c r="L8" s="7"/>
    </row>
    <row r="9">
      <c r="A9" s="5">
        <v>5.0</v>
      </c>
      <c r="B9" s="5">
        <v>65.0</v>
      </c>
      <c r="C9" s="5">
        <v>1.0</v>
      </c>
      <c r="D9" s="7">
        <f t="shared" si="1"/>
        <v>0.82885</v>
      </c>
      <c r="E9" s="7">
        <f t="shared" si="2"/>
        <v>0.4365510314</v>
      </c>
      <c r="F9" s="7">
        <f t="shared" si="3"/>
        <v>0.6961117135</v>
      </c>
      <c r="G9" s="7">
        <f t="shared" si="4"/>
        <v>-0.3038882865</v>
      </c>
      <c r="H9" s="7"/>
      <c r="I9" s="7">
        <f t="shared" si="5"/>
        <v>-19.75273862</v>
      </c>
      <c r="J9" s="7"/>
      <c r="K9" s="7"/>
      <c r="L9" s="7"/>
    </row>
    <row r="10">
      <c r="A10" s="5">
        <v>6.0</v>
      </c>
      <c r="B10" s="5">
        <v>70.0</v>
      </c>
      <c r="C10" s="5">
        <v>1.0</v>
      </c>
      <c r="D10" s="7">
        <f t="shared" si="1"/>
        <v>0.8926</v>
      </c>
      <c r="E10" s="7">
        <f t="shared" si="2"/>
        <v>0.4095894346</v>
      </c>
      <c r="F10" s="7">
        <f t="shared" si="3"/>
        <v>0.7094264297</v>
      </c>
      <c r="G10" s="7">
        <f t="shared" si="4"/>
        <v>-0.2905735703</v>
      </c>
      <c r="H10" s="7"/>
      <c r="I10" s="7">
        <f t="shared" si="5"/>
        <v>-20.34014992</v>
      </c>
      <c r="J10" s="7"/>
      <c r="K10" s="7"/>
      <c r="L10" s="7"/>
    </row>
    <row r="11">
      <c r="A11" s="5">
        <v>7.0</v>
      </c>
      <c r="B11" s="5">
        <v>75.0</v>
      </c>
      <c r="C11" s="5">
        <v>1.0</v>
      </c>
      <c r="D11" s="7">
        <f t="shared" si="1"/>
        <v>0.95635</v>
      </c>
      <c r="E11" s="7">
        <f t="shared" si="2"/>
        <v>0.3842929987</v>
      </c>
      <c r="F11" s="7">
        <f t="shared" si="3"/>
        <v>0.7223904195</v>
      </c>
      <c r="G11" s="7">
        <f t="shared" si="4"/>
        <v>-0.2776095805</v>
      </c>
      <c r="H11" s="7"/>
      <c r="I11" s="7">
        <f t="shared" si="5"/>
        <v>-20.82071854</v>
      </c>
      <c r="J11" s="7"/>
      <c r="K11" s="7"/>
      <c r="L11" s="7"/>
    </row>
    <row r="12">
      <c r="A12" s="5">
        <v>8.0</v>
      </c>
      <c r="B12" s="5">
        <v>80.0</v>
      </c>
      <c r="C12" s="5">
        <v>1.0</v>
      </c>
      <c r="D12" s="7">
        <f t="shared" si="1"/>
        <v>1.0201</v>
      </c>
      <c r="E12" s="7">
        <f t="shared" si="2"/>
        <v>0.3605588825</v>
      </c>
      <c r="F12" s="7">
        <f t="shared" si="3"/>
        <v>0.7349920778</v>
      </c>
      <c r="G12" s="7">
        <f t="shared" si="4"/>
        <v>-0.2650079222</v>
      </c>
      <c r="H12" s="7"/>
      <c r="I12" s="7">
        <f t="shared" si="5"/>
        <v>-21.20063378</v>
      </c>
      <c r="J12" s="7"/>
      <c r="K12" s="7"/>
      <c r="L12" s="7"/>
    </row>
    <row r="13">
      <c r="A13" s="5">
        <v>9.0</v>
      </c>
      <c r="B13" s="5">
        <v>85.0</v>
      </c>
      <c r="C13" s="5">
        <v>1.0</v>
      </c>
      <c r="D13" s="7">
        <f t="shared" si="1"/>
        <v>1.08385</v>
      </c>
      <c r="E13" s="7">
        <f t="shared" si="2"/>
        <v>0.3382905965</v>
      </c>
      <c r="F13" s="7">
        <f t="shared" si="3"/>
        <v>0.7472218684</v>
      </c>
      <c r="G13" s="7">
        <f t="shared" si="4"/>
        <v>-0.2527781316</v>
      </c>
      <c r="H13" s="7"/>
      <c r="I13" s="7">
        <f t="shared" si="5"/>
        <v>-21.48614118</v>
      </c>
      <c r="J13" s="7"/>
      <c r="K13" s="7"/>
      <c r="L13" s="7"/>
    </row>
    <row r="14">
      <c r="A14" s="5">
        <v>10.0</v>
      </c>
      <c r="B14" s="5">
        <v>90.0</v>
      </c>
      <c r="C14" s="5">
        <v>1.0</v>
      </c>
      <c r="D14" s="7">
        <f t="shared" si="1"/>
        <v>1.1476</v>
      </c>
      <c r="E14" s="7">
        <f t="shared" si="2"/>
        <v>0.3173976103</v>
      </c>
      <c r="F14" s="7">
        <f t="shared" si="3"/>
        <v>0.7590722742</v>
      </c>
      <c r="G14" s="7">
        <f t="shared" si="4"/>
        <v>-0.2409277258</v>
      </c>
      <c r="H14" s="7"/>
      <c r="I14" s="7">
        <f t="shared" si="5"/>
        <v>-21.68349533</v>
      </c>
      <c r="J14" s="7"/>
      <c r="K14" s="7"/>
      <c r="L14" s="7"/>
    </row>
  </sheetData>
  <drawing r:id="rId1"/>
</worksheet>
</file>